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IO04\Documents\11IPT\"/>
    </mc:Choice>
  </mc:AlternateContent>
  <bookViews>
    <workbookView xWindow="0" yWindow="0" windowWidth="13680" windowHeight="9465" activeTab="2"/>
  </bookViews>
  <sheets>
    <sheet name="Menu" sheetId="1" r:id="rId1"/>
    <sheet name="Input" sheetId="2" r:id="rId2"/>
    <sheet name="Datastore" sheetId="3" r:id="rId3"/>
    <sheet name="lookup" sheetId="4" r:id="rId4"/>
  </sheets>
  <definedNames>
    <definedName name="AddressErrMsg">Input!$C$11</definedName>
    <definedName name="addressTable">Input!$B$11</definedName>
    <definedName name="AgeErrMsg">Input!$C$13</definedName>
    <definedName name="ageNumber">Input!$B$13</definedName>
    <definedName name="ageTable">lookup!$H$2:$I$5</definedName>
    <definedName name="DOBErrMsg">Input!$C$17</definedName>
    <definedName name="dobTable">Input!$B$17</definedName>
    <definedName name="FirstName">Input!$A$7</definedName>
    <definedName name="FirstNameErrMsg">Input!$C$7</definedName>
    <definedName name="firstTable">Input!$B$7</definedName>
    <definedName name="gender_name">Input!$B$15</definedName>
    <definedName name="GenderErrMsg">Input!$C$15</definedName>
    <definedName name="lastName">Input!$B$9</definedName>
    <definedName name="LastNameErrMsg">Input!$C$9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" l="1"/>
  <c r="I10" i="2" l="1"/>
  <c r="I9" i="2"/>
  <c r="K10" i="2" l="1"/>
  <c r="O15" i="2"/>
  <c r="O14" i="2"/>
  <c r="P14" i="2"/>
  <c r="P13" i="2"/>
  <c r="P12" i="2"/>
  <c r="O13" i="2"/>
  <c r="O12" i="2"/>
  <c r="M14" i="2"/>
  <c r="N14" i="2"/>
  <c r="N13" i="2"/>
  <c r="N12" i="2"/>
  <c r="I7" i="2" l="1"/>
  <c r="I8" i="2" s="1"/>
  <c r="E7" i="2"/>
  <c r="B3" i="4"/>
</calcChain>
</file>

<file path=xl/sharedStrings.xml><?xml version="1.0" encoding="utf-8"?>
<sst xmlns="http://schemas.openxmlformats.org/spreadsheetml/2006/main" count="49" uniqueCount="38">
  <si>
    <t>MAIN MENU</t>
  </si>
  <si>
    <t>Address</t>
  </si>
  <si>
    <t>Age</t>
  </si>
  <si>
    <t>Gender</t>
  </si>
  <si>
    <t>ADDRESS</t>
  </si>
  <si>
    <t>AGE</t>
  </si>
  <si>
    <t>GENDER</t>
  </si>
  <si>
    <t>NAME (First)</t>
  </si>
  <si>
    <t>NAME (Last)</t>
  </si>
  <si>
    <t>Last Name</t>
  </si>
  <si>
    <t>First Name</t>
  </si>
  <si>
    <t>Cian</t>
  </si>
  <si>
    <t>a</t>
  </si>
  <si>
    <t>b</t>
  </si>
  <si>
    <t>c</t>
  </si>
  <si>
    <t>d</t>
  </si>
  <si>
    <t>e</t>
  </si>
  <si>
    <t>CurrentQuote#</t>
  </si>
  <si>
    <t>NextQuote#</t>
  </si>
  <si>
    <t>Quote #</t>
  </si>
  <si>
    <t>Roberts</t>
  </si>
  <si>
    <t>Male</t>
  </si>
  <si>
    <t>117 High St</t>
  </si>
  <si>
    <t>Base</t>
  </si>
  <si>
    <t>M</t>
  </si>
  <si>
    <t>DOB</t>
  </si>
  <si>
    <t>Today</t>
  </si>
  <si>
    <t>Age Calc</t>
  </si>
  <si>
    <t>Years Diff</t>
  </si>
  <si>
    <t>Months</t>
  </si>
  <si>
    <t>Days</t>
  </si>
  <si>
    <t>Range</t>
  </si>
  <si>
    <t>Factor</t>
  </si>
  <si>
    <t>Life Insurance System</t>
  </si>
  <si>
    <t>Total Premium</t>
  </si>
  <si>
    <t>Bugger</t>
  </si>
  <si>
    <t>Debugger</t>
  </si>
  <si>
    <t>Hello 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</si>
</sst>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ill="1"/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0" xfId="0" applyAlignment="1">
      <alignment horizontal="center"/>
    </xf>
    <xf numFmtId="0" fontId="0" fillId="3" borderId="0" xfId="0" applyFill="1"/>
    <xf numFmtId="0" fontId="1" fillId="3" borderId="0" xfId="0" applyFont="1" applyFill="1"/>
    <xf numFmtId="14" fontId="0" fillId="0" borderId="0" xfId="0" applyNumberFormat="1"/>
    <xf numFmtId="0" fontId="0" fillId="4" borderId="1" xfId="0" applyFill="1" applyBorder="1"/>
    <xf numFmtId="0" fontId="0" fillId="4" borderId="1" xfId="0" applyFill="1" applyBorder="1" applyAlignment="1" applyProtection="1">
      <alignment horizontal="left"/>
      <protection locked="0"/>
    </xf>
    <xf numFmtId="0" fontId="0" fillId="4" borderId="1" xfId="0" applyFill="1" applyBorder="1" applyAlignment="1">
      <alignment horizontal="left"/>
    </xf>
    <xf numFmtId="14" fontId="0" fillId="4" borderId="1" xfId="0" applyNumberFormat="1" applyFill="1" applyBorder="1" applyAlignment="1" applyProtection="1">
      <alignment horizontal="left"/>
      <protection locked="0"/>
    </xf>
    <xf numFmtId="0" fontId="5" fillId="0" borderId="0" xfId="0" applyFont="1"/>
    <xf numFmtId="0" fontId="0" fillId="5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4</xdr:row>
          <xdr:rowOff>171450</xdr:rowOff>
        </xdr:from>
        <xdr:to>
          <xdr:col>5</xdr:col>
          <xdr:colOff>1838325</xdr:colOff>
          <xdr:row>7</xdr:row>
          <xdr:rowOff>80963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Application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9</xdr:row>
          <xdr:rowOff>4763</xdr:rowOff>
        </xdr:from>
        <xdr:to>
          <xdr:col>5</xdr:col>
          <xdr:colOff>638175</xdr:colOff>
          <xdr:row>12</xdr:row>
          <xdr:rowOff>14288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1004888</xdr:colOff>
          <xdr:row>20</xdr:row>
          <xdr:rowOff>4763</xdr:rowOff>
        </xdr:from>
        <xdr:to>
          <xdr:col>1</xdr:col>
          <xdr:colOff>1905000</xdr:colOff>
          <xdr:row>21</xdr:row>
          <xdr:rowOff>4762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67"/>
  <sheetViews>
    <sheetView zoomScale="115" zoomScaleNormal="115" workbookViewId="0"/>
  </sheetViews>
  <sheetFormatPr defaultRowHeight="14.25" x14ac:dyDescent="0.45"/>
  <cols>
    <col min="6" max="6" width="25.796875" customWidth="1"/>
  </cols>
  <sheetData>
    <row r="1" spans="1:33" x14ac:dyDescent="0.4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</row>
    <row r="2" spans="1:33" x14ac:dyDescent="0.4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</row>
    <row r="3" spans="1:33" x14ac:dyDescent="0.4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</row>
    <row r="4" spans="1:33" ht="33.4" x14ac:dyDescent="1">
      <c r="A4" s="8"/>
      <c r="B4" s="8"/>
      <c r="C4" s="8"/>
      <c r="D4" s="8"/>
      <c r="E4" s="8"/>
      <c r="F4" s="9" t="s">
        <v>0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</row>
    <row r="5" spans="1:33" x14ac:dyDescent="0.4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</row>
    <row r="6" spans="1:33" x14ac:dyDescent="0.4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</row>
    <row r="7" spans="1:33" x14ac:dyDescent="0.4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</row>
    <row r="8" spans="1:33" x14ac:dyDescent="0.4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</row>
    <row r="9" spans="1:33" x14ac:dyDescent="0.4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</row>
    <row r="10" spans="1:33" x14ac:dyDescent="0.4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</row>
    <row r="11" spans="1:33" x14ac:dyDescent="0.4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</row>
    <row r="12" spans="1:33" x14ac:dyDescent="0.4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</row>
    <row r="13" spans="1:33" x14ac:dyDescent="0.4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</row>
    <row r="14" spans="1:33" x14ac:dyDescent="0.4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</row>
    <row r="15" spans="1:33" x14ac:dyDescent="0.4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</row>
    <row r="16" spans="1:33" x14ac:dyDescent="0.4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</row>
    <row r="17" spans="1:33" x14ac:dyDescent="0.4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</row>
    <row r="18" spans="1:33" x14ac:dyDescent="0.4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</row>
    <row r="19" spans="1:33" x14ac:dyDescent="0.4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</row>
    <row r="20" spans="1:33" x14ac:dyDescent="0.4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</row>
    <row r="21" spans="1:33" x14ac:dyDescent="0.4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</row>
    <row r="22" spans="1:33" x14ac:dyDescent="0.4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</row>
    <row r="23" spans="1:33" x14ac:dyDescent="0.4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</row>
    <row r="24" spans="1:33" x14ac:dyDescent="0.4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</row>
    <row r="25" spans="1:33" x14ac:dyDescent="0.4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</row>
    <row r="26" spans="1:33" x14ac:dyDescent="0.4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</row>
    <row r="27" spans="1:33" x14ac:dyDescent="0.4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</row>
    <row r="28" spans="1:33" x14ac:dyDescent="0.4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</row>
    <row r="29" spans="1:33" x14ac:dyDescent="0.4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</row>
    <row r="30" spans="1:33" x14ac:dyDescent="0.4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</row>
    <row r="31" spans="1:33" x14ac:dyDescent="0.4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</row>
    <row r="32" spans="1:33" x14ac:dyDescent="0.4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</row>
    <row r="33" spans="1:33" x14ac:dyDescent="0.4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</row>
    <row r="34" spans="1:33" x14ac:dyDescent="0.4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</row>
    <row r="35" spans="1:33" x14ac:dyDescent="0.4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</row>
    <row r="36" spans="1:33" x14ac:dyDescent="0.4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</row>
    <row r="37" spans="1:33" x14ac:dyDescent="0.4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</row>
    <row r="38" spans="1:33" x14ac:dyDescent="0.4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</row>
    <row r="39" spans="1:33" x14ac:dyDescent="0.4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</row>
    <row r="40" spans="1:33" x14ac:dyDescent="0.4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</row>
    <row r="41" spans="1:33" x14ac:dyDescent="0.4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</row>
    <row r="42" spans="1:33" x14ac:dyDescent="0.4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</row>
    <row r="43" spans="1:33" x14ac:dyDescent="0.4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</row>
    <row r="44" spans="1:33" x14ac:dyDescent="0.4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</row>
    <row r="45" spans="1:33" x14ac:dyDescent="0.4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</row>
    <row r="46" spans="1:33" x14ac:dyDescent="0.4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</row>
    <row r="47" spans="1:33" x14ac:dyDescent="0.4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</row>
    <row r="48" spans="1:33" x14ac:dyDescent="0.4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</row>
    <row r="49" spans="1:33" x14ac:dyDescent="0.4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</row>
    <row r="50" spans="1:33" x14ac:dyDescent="0.4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1:33" x14ac:dyDescent="0.4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</row>
    <row r="52" spans="1:33" x14ac:dyDescent="0.4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</row>
    <row r="53" spans="1:33" x14ac:dyDescent="0.4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</row>
    <row r="54" spans="1:33" x14ac:dyDescent="0.4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</row>
    <row r="55" spans="1:33" x14ac:dyDescent="0.4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</row>
    <row r="56" spans="1:33" x14ac:dyDescent="0.4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</row>
    <row r="57" spans="1:33" x14ac:dyDescent="0.4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</row>
    <row r="58" spans="1:33" x14ac:dyDescent="0.4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</row>
    <row r="59" spans="1:33" x14ac:dyDescent="0.4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</row>
    <row r="60" spans="1:33" x14ac:dyDescent="0.4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</row>
    <row r="61" spans="1:33" x14ac:dyDescent="0.4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</row>
    <row r="62" spans="1:33" x14ac:dyDescent="0.4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</row>
    <row r="63" spans="1:33" x14ac:dyDescent="0.4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</row>
    <row r="64" spans="1:33" x14ac:dyDescent="0.4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</row>
    <row r="65" spans="1:33" x14ac:dyDescent="0.4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</row>
    <row r="66" spans="1:33" x14ac:dyDescent="0.4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</row>
    <row r="67" spans="1:33" x14ac:dyDescent="0.4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input_btn">
                <anchor moveWithCells="1" sizeWithCells="1">
                  <from>
                    <xdr:col>4</xdr:col>
                    <xdr:colOff>628650</xdr:colOff>
                    <xdr:row>4</xdr:row>
                    <xdr:rowOff>171450</xdr:rowOff>
                  </from>
                  <to>
                    <xdr:col>5</xdr:col>
                    <xdr:colOff>1838325</xdr:colOff>
                    <xdr:row>7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P21"/>
  <sheetViews>
    <sheetView zoomScale="80" zoomScaleNormal="80" workbookViewId="0">
      <selection activeCell="B2" sqref="B2"/>
    </sheetView>
  </sheetViews>
  <sheetFormatPr defaultRowHeight="14.25" x14ac:dyDescent="0.45"/>
  <cols>
    <col min="1" max="1" width="14.53125" customWidth="1"/>
    <col min="2" max="2" width="27" customWidth="1"/>
    <col min="3" max="3" width="20.46484375" customWidth="1"/>
    <col min="5" max="5" width="12.1328125" customWidth="1"/>
    <col min="9" max="9" width="10.19921875" bestFit="1" customWidth="1"/>
    <col min="13" max="13" width="10.9296875" customWidth="1"/>
  </cols>
  <sheetData>
    <row r="3" spans="1:16" ht="21" x14ac:dyDescent="0.65">
      <c r="B3" s="15" t="s">
        <v>33</v>
      </c>
    </row>
    <row r="6" spans="1:16" ht="14.65" thickBot="1" x14ac:dyDescent="0.5"/>
    <row r="7" spans="1:16" ht="14.65" thickBot="1" x14ac:dyDescent="0.5">
      <c r="A7" t="s">
        <v>10</v>
      </c>
      <c r="B7" s="12" t="s">
        <v>35</v>
      </c>
      <c r="D7" t="s">
        <v>19</v>
      </c>
      <c r="E7" s="11">
        <f>lookup!B2</f>
        <v>4</v>
      </c>
      <c r="H7" t="s">
        <v>23</v>
      </c>
      <c r="I7">
        <f>lookup!D2</f>
        <v>500</v>
      </c>
    </row>
    <row r="8" spans="1:16" ht="14.65" thickBot="1" x14ac:dyDescent="0.5">
      <c r="B8" s="5"/>
      <c r="I8">
        <f>I7*J8</f>
        <v>1000</v>
      </c>
      <c r="J8">
        <v>2</v>
      </c>
    </row>
    <row r="9" spans="1:16" ht="14.65" thickBot="1" x14ac:dyDescent="0.5">
      <c r="A9" t="s">
        <v>9</v>
      </c>
      <c r="B9" s="12" t="s">
        <v>36</v>
      </c>
      <c r="H9" t="s">
        <v>3</v>
      </c>
      <c r="I9" t="str">
        <f>gender_name</f>
        <v>M</v>
      </c>
      <c r="J9">
        <v>50</v>
      </c>
      <c r="K9">
        <v>0.1</v>
      </c>
    </row>
    <row r="10" spans="1:16" ht="14.65" thickBot="1" x14ac:dyDescent="0.5">
      <c r="B10" s="5"/>
      <c r="H10" t="s">
        <v>2</v>
      </c>
      <c r="I10" s="10">
        <f>B13</f>
        <v>12</v>
      </c>
      <c r="K10" t="e">
        <f>VLOOKUP(I10,ageTable,2,TRUE)</f>
        <v>#N/A</v>
      </c>
    </row>
    <row r="11" spans="1:16" ht="14.65" thickBot="1" x14ac:dyDescent="0.5">
      <c r="A11" t="s">
        <v>1</v>
      </c>
      <c r="B11" s="13" t="s">
        <v>37</v>
      </c>
      <c r="L11" t="s">
        <v>27</v>
      </c>
      <c r="N11" t="s">
        <v>28</v>
      </c>
      <c r="O11" t="s">
        <v>29</v>
      </c>
      <c r="P11" t="s">
        <v>30</v>
      </c>
    </row>
    <row r="12" spans="1:16" ht="14.65" thickBot="1" x14ac:dyDescent="0.5">
      <c r="B12" s="5"/>
      <c r="L12" t="s">
        <v>26</v>
      </c>
      <c r="M12" s="10">
        <v>43234</v>
      </c>
      <c r="N12">
        <f>YEAR(M12)</f>
        <v>2018</v>
      </c>
      <c r="O12">
        <f>MONTH(M12)</f>
        <v>5</v>
      </c>
      <c r="P12">
        <f>DAY(M12)</f>
        <v>14</v>
      </c>
    </row>
    <row r="13" spans="1:16" ht="14.65" thickBot="1" x14ac:dyDescent="0.5">
      <c r="A13" t="s">
        <v>2</v>
      </c>
      <c r="B13" s="13">
        <v>12</v>
      </c>
      <c r="L13" t="s">
        <v>25</v>
      </c>
      <c r="M13" s="10">
        <v>36659</v>
      </c>
      <c r="N13">
        <f>YEAR(M13)</f>
        <v>2000</v>
      </c>
      <c r="O13">
        <f>MONTH(M13)</f>
        <v>5</v>
      </c>
      <c r="P13">
        <f>DAY(M13)</f>
        <v>13</v>
      </c>
    </row>
    <row r="14" spans="1:16" ht="14.65" thickBot="1" x14ac:dyDescent="0.5">
      <c r="B14" s="5"/>
      <c r="C14" t="s">
        <v>12</v>
      </c>
      <c r="L14" t="s">
        <v>2</v>
      </c>
      <c r="M14">
        <f>(M12-M13)/365.25</f>
        <v>18.001368925393567</v>
      </c>
      <c r="N14">
        <f>ROUNDDOWN(M14,0)</f>
        <v>18</v>
      </c>
      <c r="O14">
        <f>SUM(O12-O13)</f>
        <v>0</v>
      </c>
      <c r="P14">
        <f>SUM(P12-P13)</f>
        <v>1</v>
      </c>
    </row>
    <row r="15" spans="1:16" ht="14.65" thickBot="1" x14ac:dyDescent="0.5">
      <c r="A15" t="s">
        <v>3</v>
      </c>
      <c r="B15" s="13" t="s">
        <v>24</v>
      </c>
      <c r="O15">
        <f>IF(O14&lt;0,-1,0)</f>
        <v>0</v>
      </c>
    </row>
    <row r="16" spans="1:16" ht="14.65" thickBot="1" x14ac:dyDescent="0.5">
      <c r="B16" s="5"/>
    </row>
    <row r="17" spans="1:13" ht="14.65" thickBot="1" x14ac:dyDescent="0.5">
      <c r="A17" t="s">
        <v>25</v>
      </c>
      <c r="B17" s="14">
        <v>31911</v>
      </c>
    </row>
    <row r="18" spans="1:13" ht="14.65" thickBot="1" x14ac:dyDescent="0.5"/>
    <row r="19" spans="1:13" ht="14.65" thickBot="1" x14ac:dyDescent="0.5">
      <c r="A19" t="s">
        <v>34</v>
      </c>
      <c r="B19" s="16" t="e">
        <f>IF(ISNA(totalpremiumcalc),"",totalpremiumcalc)</f>
        <v>#NAME?</v>
      </c>
    </row>
    <row r="21" spans="1:13" x14ac:dyDescent="0.45">
      <c r="M21" s="1"/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submit_btn">
                <anchor moveWithCells="1" sizeWithCells="1">
                  <from>
                    <xdr:col>2</xdr:col>
                    <xdr:colOff>1457325</xdr:colOff>
                    <xdr:row>9</xdr:row>
                    <xdr:rowOff>4763</xdr:rowOff>
                  </from>
                  <to>
                    <xdr:col>5</xdr:col>
                    <xdr:colOff>638175</xdr:colOff>
                    <xdr:row>12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gotomenu_btn">
                <anchor moveWithCells="1" sizeWithCells="1">
                  <from>
                    <xdr:col>0</xdr:col>
                    <xdr:colOff>1004888</xdr:colOff>
                    <xdr:row>20</xdr:row>
                    <xdr:rowOff>4763</xdr:rowOff>
                  </from>
                  <to>
                    <xdr:col>1</xdr:col>
                    <xdr:colOff>1905000</xdr:colOff>
                    <xdr:row>21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9"/>
  <sheetViews>
    <sheetView tabSelected="1" zoomScale="96" workbookViewId="0">
      <selection activeCell="B3" sqref="B3"/>
    </sheetView>
  </sheetViews>
  <sheetFormatPr defaultRowHeight="14.25" x14ac:dyDescent="0.45"/>
  <cols>
    <col min="1" max="1" width="13.3984375" customWidth="1"/>
    <col min="2" max="3" width="22.59765625" customWidth="1"/>
    <col min="4" max="4" width="22.53125" customWidth="1"/>
    <col min="5" max="5" width="22.59765625" customWidth="1"/>
    <col min="6" max="6" width="22.73046875" customWidth="1"/>
  </cols>
  <sheetData>
    <row r="1" spans="1:7" x14ac:dyDescent="0.45">
      <c r="A1" s="2" t="s">
        <v>19</v>
      </c>
      <c r="B1" s="2" t="s">
        <v>7</v>
      </c>
      <c r="C1" s="2" t="s">
        <v>8</v>
      </c>
      <c r="D1" s="2" t="s">
        <v>4</v>
      </c>
      <c r="E1" s="2" t="s">
        <v>5</v>
      </c>
      <c r="F1" s="2" t="s">
        <v>6</v>
      </c>
      <c r="G1" s="3"/>
    </row>
    <row r="2" spans="1:7" x14ac:dyDescent="0.45">
      <c r="A2" s="7"/>
      <c r="B2" s="1"/>
      <c r="C2" s="1"/>
      <c r="D2" s="1"/>
      <c r="E2" s="4"/>
      <c r="F2" s="1"/>
      <c r="G2" s="1"/>
    </row>
    <row r="3" spans="1:7" x14ac:dyDescent="0.45">
      <c r="A3" s="7"/>
      <c r="B3" s="1"/>
      <c r="C3" s="1"/>
      <c r="D3" s="1"/>
      <c r="E3" s="4"/>
      <c r="F3" s="1"/>
      <c r="G3" s="1"/>
    </row>
    <row r="4" spans="1:7" x14ac:dyDescent="0.45">
      <c r="A4" s="7"/>
      <c r="B4" s="1"/>
      <c r="C4" s="1"/>
      <c r="D4" s="1"/>
      <c r="E4" s="4"/>
      <c r="F4" s="1"/>
      <c r="G4" s="1"/>
    </row>
    <row r="5" spans="1:7" x14ac:dyDescent="0.45">
      <c r="A5" s="7"/>
      <c r="B5" s="1"/>
      <c r="C5" s="1"/>
      <c r="D5" s="1"/>
      <c r="E5" s="4"/>
      <c r="F5" s="1"/>
      <c r="G5" s="1"/>
    </row>
    <row r="6" spans="1:7" x14ac:dyDescent="0.45">
      <c r="A6" s="7">
        <v>3</v>
      </c>
      <c r="B6" s="1" t="s">
        <v>12</v>
      </c>
      <c r="C6" s="1" t="s">
        <v>13</v>
      </c>
      <c r="D6" s="1" t="s">
        <v>14</v>
      </c>
      <c r="E6" s="4">
        <v>16</v>
      </c>
      <c r="F6" s="1" t="s">
        <v>24</v>
      </c>
      <c r="G6" s="1"/>
    </row>
    <row r="7" spans="1:7" x14ac:dyDescent="0.45">
      <c r="A7" s="7">
        <v>2</v>
      </c>
      <c r="B7" s="1" t="s">
        <v>11</v>
      </c>
      <c r="C7" s="1" t="s">
        <v>13</v>
      </c>
      <c r="D7" s="1" t="s">
        <v>14</v>
      </c>
      <c r="E7" s="4" t="s">
        <v>15</v>
      </c>
      <c r="F7" s="1" t="s">
        <v>16</v>
      </c>
      <c r="G7" s="1"/>
    </row>
    <row r="8" spans="1:7" x14ac:dyDescent="0.45">
      <c r="A8" s="7">
        <v>1</v>
      </c>
      <c r="B8" s="1" t="s">
        <v>11</v>
      </c>
      <c r="C8" s="1" t="s">
        <v>20</v>
      </c>
      <c r="D8" s="1" t="s">
        <v>22</v>
      </c>
      <c r="E8" s="4">
        <v>16</v>
      </c>
      <c r="F8" s="1" t="s">
        <v>21</v>
      </c>
      <c r="G8" s="1"/>
    </row>
    <row r="9" spans="1:7" x14ac:dyDescent="0.45">
      <c r="A9" s="7"/>
      <c r="B9" s="1"/>
      <c r="C9" s="1"/>
      <c r="D9" s="1"/>
      <c r="E9" s="4"/>
      <c r="F9" s="1"/>
      <c r="G9" s="1"/>
    </row>
    <row r="10" spans="1:7" x14ac:dyDescent="0.45">
      <c r="A10" s="7"/>
      <c r="B10" s="1"/>
      <c r="C10" s="1"/>
      <c r="D10" s="6"/>
      <c r="E10" s="4"/>
      <c r="F10" s="1"/>
      <c r="G10" s="1"/>
    </row>
    <row r="11" spans="1:7" x14ac:dyDescent="0.45">
      <c r="A11" s="7"/>
      <c r="B11" s="1"/>
      <c r="C11" s="1"/>
      <c r="D11" s="1"/>
      <c r="E11" s="4"/>
      <c r="F11" s="1"/>
      <c r="G11" s="1"/>
    </row>
    <row r="12" spans="1:7" x14ac:dyDescent="0.45">
      <c r="A12" s="7"/>
      <c r="B12" s="1"/>
      <c r="C12" s="1"/>
      <c r="D12" s="1"/>
      <c r="E12" s="4"/>
      <c r="F12" s="1"/>
      <c r="G12" s="1"/>
    </row>
    <row r="13" spans="1:7" x14ac:dyDescent="0.45">
      <c r="A13" s="7"/>
      <c r="B13" s="1"/>
      <c r="C13" s="1"/>
      <c r="D13" s="1"/>
      <c r="E13" s="4"/>
      <c r="F13" s="1"/>
      <c r="G13" s="1"/>
    </row>
    <row r="14" spans="1:7" x14ac:dyDescent="0.45">
      <c r="A14" s="7"/>
      <c r="B14" s="1"/>
      <c r="C14" s="1"/>
      <c r="D14" s="1"/>
      <c r="E14" s="4"/>
      <c r="F14" s="1"/>
      <c r="G14" s="1"/>
    </row>
    <row r="15" spans="1:7" x14ac:dyDescent="0.45">
      <c r="A15" s="7"/>
      <c r="B15" s="1"/>
      <c r="C15" s="1"/>
      <c r="D15" s="1"/>
      <c r="E15" s="4"/>
      <c r="F15" s="1"/>
      <c r="G15" s="1"/>
    </row>
    <row r="16" spans="1:7" x14ac:dyDescent="0.45">
      <c r="A16" s="7"/>
      <c r="B16" s="1"/>
      <c r="E16" s="5"/>
      <c r="G16" s="1"/>
    </row>
    <row r="17" spans="1:5" x14ac:dyDescent="0.45">
      <c r="A17" s="7"/>
      <c r="E17" s="5"/>
    </row>
    <row r="18" spans="1:5" x14ac:dyDescent="0.45">
      <c r="A18" s="7"/>
      <c r="E18" s="5"/>
    </row>
    <row r="19" spans="1:5" x14ac:dyDescent="0.45">
      <c r="A19" s="7"/>
      <c r="E19" s="5"/>
    </row>
    <row r="20" spans="1:5" x14ac:dyDescent="0.45">
      <c r="A20" s="7"/>
      <c r="E20" s="5"/>
    </row>
    <row r="21" spans="1:5" x14ac:dyDescent="0.45">
      <c r="A21" s="7"/>
      <c r="E21" s="5"/>
    </row>
    <row r="22" spans="1:5" x14ac:dyDescent="0.45">
      <c r="A22" s="7"/>
      <c r="E22" s="5"/>
    </row>
    <row r="23" spans="1:5" x14ac:dyDescent="0.45">
      <c r="A23" s="7"/>
      <c r="E23" s="5"/>
    </row>
    <row r="24" spans="1:5" x14ac:dyDescent="0.45">
      <c r="A24" s="7"/>
      <c r="E24" s="5"/>
    </row>
    <row r="25" spans="1:5" x14ac:dyDescent="0.45">
      <c r="A25" s="7"/>
      <c r="E25" s="5"/>
    </row>
    <row r="26" spans="1:5" x14ac:dyDescent="0.45">
      <c r="A26" s="7"/>
      <c r="E26" s="5"/>
    </row>
    <row r="27" spans="1:5" x14ac:dyDescent="0.45">
      <c r="A27" s="7"/>
      <c r="E27" s="5"/>
    </row>
    <row r="28" spans="1:5" x14ac:dyDescent="0.45">
      <c r="A28" s="7"/>
      <c r="E28" s="5"/>
    </row>
    <row r="29" spans="1:5" x14ac:dyDescent="0.45">
      <c r="A29" s="7"/>
      <c r="E29" s="5"/>
    </row>
    <row r="30" spans="1:5" x14ac:dyDescent="0.45">
      <c r="A30" s="7"/>
      <c r="E30" s="5"/>
    </row>
    <row r="31" spans="1:5" x14ac:dyDescent="0.45">
      <c r="A31" s="5"/>
      <c r="E31" s="5"/>
    </row>
    <row r="32" spans="1:5" x14ac:dyDescent="0.45">
      <c r="E32" s="5"/>
    </row>
    <row r="33" spans="5:5" x14ac:dyDescent="0.45">
      <c r="E33" s="5"/>
    </row>
    <row r="34" spans="5:5" x14ac:dyDescent="0.45">
      <c r="E34" s="5"/>
    </row>
    <row r="36" spans="5:5" x14ac:dyDescent="0.45">
      <c r="E36" s="5"/>
    </row>
    <row r="37" spans="5:5" x14ac:dyDescent="0.45">
      <c r="E37" s="5"/>
    </row>
    <row r="38" spans="5:5" x14ac:dyDescent="0.45">
      <c r="E38" s="5"/>
    </row>
    <row r="39" spans="5:5" x14ac:dyDescent="0.45">
      <c r="E39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"/>
  <sheetViews>
    <sheetView workbookViewId="0">
      <selection activeCell="I3" sqref="I3"/>
    </sheetView>
  </sheetViews>
  <sheetFormatPr defaultRowHeight="14.25" x14ac:dyDescent="0.45"/>
  <cols>
    <col min="1" max="1" width="13.59765625" customWidth="1"/>
  </cols>
  <sheetData>
    <row r="1" spans="1:9" x14ac:dyDescent="0.45">
      <c r="H1" t="s">
        <v>31</v>
      </c>
      <c r="I1" t="s">
        <v>32</v>
      </c>
    </row>
    <row r="2" spans="1:9" x14ac:dyDescent="0.45">
      <c r="A2" t="s">
        <v>17</v>
      </c>
      <c r="B2">
        <v>4</v>
      </c>
      <c r="D2">
        <v>500</v>
      </c>
      <c r="G2" t="s">
        <v>2</v>
      </c>
      <c r="H2">
        <v>18</v>
      </c>
      <c r="I2">
        <v>0.09</v>
      </c>
    </row>
    <row r="3" spans="1:9" x14ac:dyDescent="0.45">
      <c r="A3" t="s">
        <v>18</v>
      </c>
      <c r="B3">
        <f>B2+1</f>
        <v>5</v>
      </c>
      <c r="H3">
        <v>35</v>
      </c>
      <c r="I3">
        <v>0.1</v>
      </c>
    </row>
    <row r="4" spans="1:9" x14ac:dyDescent="0.45">
      <c r="H4">
        <v>60</v>
      </c>
      <c r="I4">
        <v>0.5</v>
      </c>
    </row>
    <row r="5" spans="1:9" x14ac:dyDescent="0.45">
      <c r="H5">
        <v>100</v>
      </c>
      <c r="I5">
        <v>0.8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Menu</vt:lpstr>
      <vt:lpstr>Input</vt:lpstr>
      <vt:lpstr>Datastore</vt:lpstr>
      <vt:lpstr>lookup</vt:lpstr>
      <vt:lpstr>AddressErrMsg</vt:lpstr>
      <vt:lpstr>addressTable</vt:lpstr>
      <vt:lpstr>AgeErrMsg</vt:lpstr>
      <vt:lpstr>ageNumber</vt:lpstr>
      <vt:lpstr>ageTable</vt:lpstr>
      <vt:lpstr>DOBErrMsg</vt:lpstr>
      <vt:lpstr>dobTable</vt:lpstr>
      <vt:lpstr>FirstName</vt:lpstr>
      <vt:lpstr>FirstNameErrMsg</vt:lpstr>
      <vt:lpstr>firstTable</vt:lpstr>
      <vt:lpstr>gender_name</vt:lpstr>
      <vt:lpstr>GenderErrMsg</vt:lpstr>
      <vt:lpstr>lastName</vt:lpstr>
      <vt:lpstr>LastNameErrMsg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Cian Roberts</dc:creator>
  <cp:lastModifiedBy>Christian Maiorana</cp:lastModifiedBy>
  <dcterms:created xsi:type="dcterms:W3CDTF">2018-05-04T04:31:51Z</dcterms:created>
  <dcterms:modified xsi:type="dcterms:W3CDTF">2018-05-23T05:57:00Z</dcterms:modified>
</cp:coreProperties>
</file>